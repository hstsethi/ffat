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-nifty" sheetId="1" r:id="rId4"/>
  </sheets>
  <definedNames/>
  <calcPr/>
</workbook>
</file>

<file path=xl/sharedStrings.xml><?xml version="1.0" encoding="utf-8"?>
<sst xmlns="http://schemas.openxmlformats.org/spreadsheetml/2006/main" count="57" uniqueCount="46">
  <si>
    <t>ISIN</t>
  </si>
  <si>
    <t>Name Of the Instrument</t>
  </si>
  <si>
    <t>Industry+ /Rating</t>
  </si>
  <si>
    <t>Quantity</t>
  </si>
  <si>
    <t>Market/ Fair Value (Rs. in Lacs.)</t>
  </si>
  <si>
    <t>% to NAV</t>
  </si>
  <si>
    <t>pe</t>
  </si>
  <si>
    <t>eps</t>
  </si>
  <si>
    <t>ticker</t>
  </si>
  <si>
    <t>INE040A01034</t>
  </si>
  <si>
    <t>HDFC Bank Ltd.£</t>
  </si>
  <si>
    <t>Banks</t>
  </si>
  <si>
    <t>NSE:HDFCBANK</t>
  </si>
  <si>
    <t>INE090A01021</t>
  </si>
  <si>
    <t>ICICI Bank Ltd.</t>
  </si>
  <si>
    <t>NSE:ICICIBANK</t>
  </si>
  <si>
    <t>INE062A01020</t>
  </si>
  <si>
    <t>State Bank of India</t>
  </si>
  <si>
    <t>NSE:SBIN</t>
  </si>
  <si>
    <t>INE237A01028</t>
  </si>
  <si>
    <t>Kotak Mahindra Bank Limited</t>
  </si>
  <si>
    <t>NSE:KOTAKBANK</t>
  </si>
  <si>
    <t>INE238A01034</t>
  </si>
  <si>
    <t>Axis Bank Ltd.</t>
  </si>
  <si>
    <t>NSE:AXISBANK</t>
  </si>
  <si>
    <t>INE095A01012</t>
  </si>
  <si>
    <t>Indusind Bank Ltd.</t>
  </si>
  <si>
    <t>NSE:INDUSINDBK</t>
  </si>
  <si>
    <t>INE028A01039</t>
  </si>
  <si>
    <t>Bank of Baroda</t>
  </si>
  <si>
    <t>NSE:BANKBARODA</t>
  </si>
  <si>
    <t>INE171A01029</t>
  </si>
  <si>
    <t>The Federal Bank Ltd.</t>
  </si>
  <si>
    <t>NSE:FEDERALBNK</t>
  </si>
  <si>
    <t>INE092T01019</t>
  </si>
  <si>
    <t>IDFC First Bank Limited</t>
  </si>
  <si>
    <t>NSE:IDFCFIRSTB</t>
  </si>
  <si>
    <t>INE476A01022</t>
  </si>
  <si>
    <t>Canara Bank</t>
  </si>
  <si>
    <t>NSE:CANBK</t>
  </si>
  <si>
    <t>INE949L01017</t>
  </si>
  <si>
    <t>Au Small Finance Bank Ltd.</t>
  </si>
  <si>
    <t>NSE:AUBANK</t>
  </si>
  <si>
    <t>INE160A01022</t>
  </si>
  <si>
    <t>Punjab National Bank</t>
  </si>
  <si>
    <t>NSE:PNB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</si>
</sst>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D9D4"/>
        <bgColor rgb="FFCCD9D4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3" xfId="0" applyAlignment="1" applyBorder="1" applyFont="1" applyNumberFormat="1">
      <alignment readingOrder="0"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3" xfId="0" applyAlignment="1" applyBorder="1" applyFont="1" applyNumberFormat="1">
      <alignment readingOrder="0" shrinkToFit="0" vertical="center" wrapText="0"/>
    </xf>
    <xf borderId="8" fillId="0" fontId="1" numFmtId="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2" fontId="1" numFmtId="0" xfId="0" applyAlignment="1" applyBorder="1" applyFill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1" fillId="2" fontId="1" numFmtId="0" xfId="0" applyAlignment="1" applyBorder="1" applyFont="1">
      <alignment shrinkToFit="0" vertical="center" wrapText="0"/>
    </xf>
    <xf borderId="12" fillId="2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</dxfs>
  <tableStyles count="1">
    <tableStyle count="4" pivot="0" name="bank-nifty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I14" displayName="Table1" name="Table1" id="1">
  <tableColumns count="9">
    <tableColumn name="ISIN" id="1"/>
    <tableColumn name="Name Of the Instrument" id="2"/>
    <tableColumn name="Industry+ /Rating" id="3"/>
    <tableColumn name="Quantity" id="4"/>
    <tableColumn name="Market/ Fair Value (Rs. in Lacs.)" id="5"/>
    <tableColumn name="% to NAV" id="6"/>
    <tableColumn name="pe" id="7"/>
    <tableColumn name="eps" id="8"/>
    <tableColumn name="ticker" id="9"/>
  </tableColumns>
  <tableStyleInfo name="bank-nif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4.0"/>
    <col customWidth="1" min="3" max="3" width="21.5"/>
    <col customWidth="1" min="4" max="4" width="14.88"/>
    <col customWidth="1" min="5" max="5" width="32.38"/>
    <col customWidth="1" min="6" max="6" width="15.5"/>
    <col customWidth="1" min="9" max="9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6">
        <v>7907896.0</v>
      </c>
      <c r="E2" s="7">
        <v>75204.09</v>
      </c>
      <c r="F2" s="8">
        <v>28.49</v>
      </c>
      <c r="G2" s="9">
        <f>IFERROR(__xludf.DUMMYFUNCTION("GOOGLEFINANCE(I2, ""pe"")"),21.15)</f>
        <v>21.15</v>
      </c>
      <c r="H2" s="9">
        <f>IFERROR(__xludf.DUMMYFUNCTION("GOOGLEFINANCE(I2, ""eps"")"),45.96)</f>
        <v>45.96</v>
      </c>
      <c r="I2" s="10" t="s">
        <v>12</v>
      </c>
    </row>
    <row r="3">
      <c r="A3" s="11" t="s">
        <v>13</v>
      </c>
      <c r="B3" s="12" t="s">
        <v>14</v>
      </c>
      <c r="C3" s="12" t="s">
        <v>11</v>
      </c>
      <c r="D3" s="13">
        <v>4773934.0</v>
      </c>
      <c r="E3" s="14">
        <v>64352.63</v>
      </c>
      <c r="F3" s="15">
        <v>24.38</v>
      </c>
      <c r="G3" s="16">
        <f>IFERROR(__xludf.DUMMYFUNCTION("GOOGLEFINANCE(I3, ""pe"")"),18.73)</f>
        <v>18.73</v>
      </c>
      <c r="H3" s="16">
        <f>IFERROR(__xludf.DUMMYFUNCTION("GOOGLEFINANCE(I3, ""eps"")"),73.6)</f>
        <v>73.6</v>
      </c>
      <c r="I3" s="17" t="s">
        <v>15</v>
      </c>
    </row>
    <row r="4">
      <c r="A4" s="4" t="s">
        <v>16</v>
      </c>
      <c r="B4" s="5" t="s">
        <v>17</v>
      </c>
      <c r="C4" s="5" t="s">
        <v>11</v>
      </c>
      <c r="D4" s="6">
        <v>2775687.0</v>
      </c>
      <c r="E4" s="7">
        <v>24216.48</v>
      </c>
      <c r="F4" s="8">
        <v>9.17</v>
      </c>
      <c r="G4" s="9">
        <f>IFERROR(__xludf.DUMMYFUNCTION("GOOGLEFINANCE(I4, ""pe"")"),9.86)</f>
        <v>9.86</v>
      </c>
      <c r="H4" s="9">
        <f>IFERROR(__xludf.DUMMYFUNCTION("GOOGLEFINANCE(I4, ""eps"")"),89.01)</f>
        <v>89.01</v>
      </c>
      <c r="I4" s="10" t="s">
        <v>18</v>
      </c>
    </row>
    <row r="5">
      <c r="A5" s="11" t="s">
        <v>19</v>
      </c>
      <c r="B5" s="12" t="s">
        <v>20</v>
      </c>
      <c r="C5" s="12" t="s">
        <v>11</v>
      </c>
      <c r="D5" s="13">
        <v>1187129.0</v>
      </c>
      <c r="E5" s="14">
        <v>23655.92</v>
      </c>
      <c r="F5" s="15">
        <v>8.96</v>
      </c>
      <c r="G5" s="16">
        <f>IFERROR(__xludf.DUMMYFUNCTION("GOOGLEFINANCE(I5, ""pe"")"),22.17)</f>
        <v>22.17</v>
      </c>
      <c r="H5" s="16">
        <f>IFERROR(__xludf.DUMMYFUNCTION("GOOGLEFINANCE(I5, ""eps"")"),96.31)</f>
        <v>96.31</v>
      </c>
      <c r="I5" s="17" t="s">
        <v>21</v>
      </c>
    </row>
    <row r="6">
      <c r="A6" s="4" t="s">
        <v>22</v>
      </c>
      <c r="B6" s="5" t="s">
        <v>23</v>
      </c>
      <c r="C6" s="5" t="s">
        <v>11</v>
      </c>
      <c r="D6" s="6">
        <v>2048932.0</v>
      </c>
      <c r="E6" s="7">
        <v>23185.71</v>
      </c>
      <c r="F6" s="8">
        <v>8.78</v>
      </c>
      <c r="G6" s="9">
        <f>IFERROR(__xludf.DUMMYFUNCTION("GOOGLEFINANCE(I6, ""pe"")"),13.07)</f>
        <v>13.07</v>
      </c>
      <c r="H6" s="9">
        <f>IFERROR(__xludf.DUMMYFUNCTION("GOOGLEFINANCE(I6, ""eps"")"),89.53)</f>
        <v>89.53</v>
      </c>
      <c r="I6" s="10" t="s">
        <v>24</v>
      </c>
    </row>
    <row r="7">
      <c r="A7" s="11" t="s">
        <v>25</v>
      </c>
      <c r="B7" s="12" t="s">
        <v>26</v>
      </c>
      <c r="C7" s="12" t="s">
        <v>11</v>
      </c>
      <c r="D7" s="13">
        <v>1127791.0</v>
      </c>
      <c r="E7" s="14">
        <v>8295.47</v>
      </c>
      <c r="F7" s="15">
        <v>3.14</v>
      </c>
      <c r="G7" s="16">
        <f>IFERROR(__xludf.DUMMYFUNCTION("GOOGLEFINANCE(I7, ""pe"")"),59.07)</f>
        <v>59.07</v>
      </c>
      <c r="H7" s="16">
        <f>IFERROR(__xludf.DUMMYFUNCTION("GOOGLEFINANCE(I7, ""eps"")"),12.94)</f>
        <v>12.94</v>
      </c>
      <c r="I7" s="17" t="s">
        <v>27</v>
      </c>
    </row>
    <row r="8">
      <c r="A8" s="4" t="s">
        <v>28</v>
      </c>
      <c r="B8" s="5" t="s">
        <v>29</v>
      </c>
      <c r="C8" s="5" t="s">
        <v>11</v>
      </c>
      <c r="D8" s="6">
        <v>3161097.0</v>
      </c>
      <c r="E8" s="7">
        <v>8172.7</v>
      </c>
      <c r="F8" s="8">
        <v>3.1</v>
      </c>
      <c r="G8" s="9">
        <f>IFERROR(__xludf.DUMMYFUNCTION("GOOGLEFINANCE(I8, ""pe"")"),7.07)</f>
        <v>7.07</v>
      </c>
      <c r="H8" s="9">
        <f>IFERROR(__xludf.DUMMYFUNCTION("GOOGLEFINANCE(I8, ""eps"")"),37.63)</f>
        <v>37.63</v>
      </c>
      <c r="I8" s="10" t="s">
        <v>30</v>
      </c>
    </row>
    <row r="9">
      <c r="A9" s="11" t="s">
        <v>31</v>
      </c>
      <c r="B9" s="12" t="s">
        <v>32</v>
      </c>
      <c r="C9" s="12" t="s">
        <v>11</v>
      </c>
      <c r="D9" s="13">
        <v>4209045.0</v>
      </c>
      <c r="E9" s="14">
        <v>8120.51</v>
      </c>
      <c r="F9" s="15">
        <v>3.08</v>
      </c>
      <c r="G9" s="16">
        <f>IFERROR(__xludf.DUMMYFUNCTION("GOOGLEFINANCE(I9, ""pe"")"),12.86)</f>
        <v>12.86</v>
      </c>
      <c r="H9" s="16">
        <f>IFERROR(__xludf.DUMMYFUNCTION("GOOGLEFINANCE(I9, ""eps"")"),16.34)</f>
        <v>16.34</v>
      </c>
      <c r="I9" s="17" t="s">
        <v>33</v>
      </c>
    </row>
    <row r="10">
      <c r="A10" s="4" t="s">
        <v>34</v>
      </c>
      <c r="B10" s="5" t="s">
        <v>35</v>
      </c>
      <c r="C10" s="5" t="s">
        <v>11</v>
      </c>
      <c r="D10" s="6">
        <v>1.1324298E7</v>
      </c>
      <c r="E10" s="7">
        <v>7900.96</v>
      </c>
      <c r="F10" s="8">
        <v>2.99</v>
      </c>
      <c r="G10" s="9">
        <f>IFERROR(__xludf.DUMMYFUNCTION("GOOGLEFINANCE(I10, ""pe"")"),42.22)</f>
        <v>42.22</v>
      </c>
      <c r="H10" s="9">
        <f>IFERROR(__xludf.DUMMYFUNCTION("GOOGLEFINANCE(I10, ""eps"")"),1.75)</f>
        <v>1.75</v>
      </c>
      <c r="I10" s="10" t="s">
        <v>36</v>
      </c>
    </row>
    <row r="11">
      <c r="A11" s="11" t="s">
        <v>37</v>
      </c>
      <c r="B11" s="12" t="s">
        <v>38</v>
      </c>
      <c r="C11" s="12" t="s">
        <v>11</v>
      </c>
      <c r="D11" s="13">
        <v>5773026.0</v>
      </c>
      <c r="E11" s="14">
        <v>7141.81</v>
      </c>
      <c r="F11" s="15">
        <v>2.71</v>
      </c>
      <c r="G11" s="16">
        <f>IFERROR(__xludf.DUMMYFUNCTION("GOOGLEFINANCE(I11, ""pe"")"),6.92)</f>
        <v>6.92</v>
      </c>
      <c r="H11" s="16">
        <f>IFERROR(__xludf.DUMMYFUNCTION("GOOGLEFINANCE(I11, ""eps"")"),18.38)</f>
        <v>18.38</v>
      </c>
      <c r="I11" s="17" t="s">
        <v>39</v>
      </c>
    </row>
    <row r="12">
      <c r="A12" s="4" t="s">
        <v>40</v>
      </c>
      <c r="B12" s="5" t="s">
        <v>41</v>
      </c>
      <c r="C12" s="5" t="s">
        <v>11</v>
      </c>
      <c r="D12" s="6">
        <v>963652.0</v>
      </c>
      <c r="E12" s="7">
        <v>7048.15</v>
      </c>
      <c r="F12" s="8">
        <v>2.67</v>
      </c>
      <c r="G12" s="9">
        <f>IFERROR(__xludf.DUMMYFUNCTION("GOOGLEFINANCE(I12, ""pe"")"),26.21)</f>
        <v>26.21</v>
      </c>
      <c r="H12" s="9">
        <f>IFERROR(__xludf.DUMMYFUNCTION("GOOGLEFINANCE(I12, ""eps"")"),29.28)</f>
        <v>29.28</v>
      </c>
      <c r="I12" s="10" t="s">
        <v>42</v>
      </c>
    </row>
    <row r="13">
      <c r="A13" s="11" t="s">
        <v>43</v>
      </c>
      <c r="B13" s="12" t="s">
        <v>44</v>
      </c>
      <c r="C13" s="12" t="s">
        <v>11</v>
      </c>
      <c r="D13" s="13">
        <v>5904200.0</v>
      </c>
      <c r="E13" s="14">
        <v>6661.71</v>
      </c>
      <c r="F13" s="15">
        <v>2.52</v>
      </c>
      <c r="G13" s="16">
        <f>IFERROR(__xludf.DUMMYFUNCTION("GOOGLEFINANCE(I13, ""pe"")"),7.95)</f>
        <v>7.95</v>
      </c>
      <c r="H13" s="16">
        <f>IFERROR(__xludf.DUMMYFUNCTION("GOOGLEFINANCE(I13, ""eps"")"),14.63)</f>
        <v>14.63</v>
      </c>
      <c r="I13" s="17" t="s">
        <v>45</v>
      </c>
    </row>
    <row r="14">
      <c r="A14" s="18"/>
      <c r="B14" s="19"/>
      <c r="C14" s="19"/>
      <c r="D14" s="19"/>
      <c r="E14" s="19"/>
      <c r="F14" s="19"/>
      <c r="G14" s="20"/>
      <c r="H14" s="20"/>
      <c r="I14" s="21"/>
    </row>
  </sheetData>
  <dataValidations>
    <dataValidation type="custom" allowBlank="1" showDropDown="1" sqref="D2:H13">
      <formula1>AND(ISNUMBER(D2),(NOT(OR(NOT(ISERROR(DATEVALUE(D2))), AND(ISNUMBER(D2), LEFT(CELL("format", D2))="D")))))</formula1>
    </dataValidation>
    <dataValidation allowBlank="1" showDropDown="1" sqref="C2:C13"/>
  </dataValidations>
  <drawing r:id="rId1"/>
  <tableParts count="1">
    <tablePart r:id="rId3"/>
  </tableParts>
</worksheet>
</file>